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colás\Downloads\Portafolio\Excel-control de gestion\"/>
    </mc:Choice>
  </mc:AlternateContent>
  <xr:revisionPtr revIDLastSave="0" documentId="13_ncr:1_{AF1ED360-E234-48F8-9801-F3F1A6AFB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Simple" sheetId="2" r:id="rId1"/>
    <sheet name="Gastos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3" i="1"/>
  <c r="G4" i="1"/>
  <c r="G5" i="1"/>
  <c r="G6" i="1"/>
  <c r="G7" i="1"/>
  <c r="G8" i="1"/>
  <c r="G9" i="1"/>
  <c r="G10" i="1"/>
  <c r="G2" i="1"/>
  <c r="F2" i="1"/>
  <c r="F3" i="1"/>
  <c r="F4" i="1"/>
  <c r="F5" i="1"/>
  <c r="F6" i="1"/>
  <c r="F7" i="1"/>
  <c r="F8" i="1"/>
  <c r="F9" i="1"/>
  <c r="F10" i="1"/>
</calcChain>
</file>

<file path=xl/sharedStrings.xml><?xml version="1.0" encoding="utf-8"?>
<sst xmlns="http://schemas.openxmlformats.org/spreadsheetml/2006/main" count="53" uniqueCount="24">
  <si>
    <t>Mes</t>
  </si>
  <si>
    <t>Área</t>
  </si>
  <si>
    <t>Categoría</t>
  </si>
  <si>
    <t>Presupuesto</t>
  </si>
  <si>
    <t>Gasto Real</t>
  </si>
  <si>
    <t>Enero</t>
  </si>
  <si>
    <t>Ventas</t>
  </si>
  <si>
    <t>Marketing</t>
  </si>
  <si>
    <t>Operaciones</t>
  </si>
  <si>
    <t>Logística</t>
  </si>
  <si>
    <t>Finanzas</t>
  </si>
  <si>
    <t>Servicios</t>
  </si>
  <si>
    <t>Febrero</t>
  </si>
  <si>
    <t>Marzo</t>
  </si>
  <si>
    <t xml:space="preserve">Diferencia  </t>
  </si>
  <si>
    <t>Variacion %</t>
  </si>
  <si>
    <t>Total Presupuesto</t>
  </si>
  <si>
    <t xml:space="preserve">Total Gasto Real </t>
  </si>
  <si>
    <t>Variación total</t>
  </si>
  <si>
    <t>% de sobre / bajo presupuesto</t>
  </si>
  <si>
    <t>Suma de Gasto Real</t>
  </si>
  <si>
    <t>Etiquetas de fila</t>
  </si>
  <si>
    <t>Total general</t>
  </si>
  <si>
    <t>Suma de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</si>
</sst>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2" fontId="0" fillId="0" borderId="0" xfId="1" applyFont="1"/>
    <xf numFmtId="42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[Control_Gastos_Empresa_Ficticia.xlsx]Tabla Simple!TablaDinámica1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</a:t>
            </a:r>
            <a:r>
              <a:rPr lang="en-US" baseline="0"/>
              <a:t> por venta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Simple'!$B$3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Simple'!$A$4:$A$7</c:f>
              <c:strCache>
                <c:ptCount val="3"/>
                <c:pt idx="0">
                  <c:v>Finanzas</c:v>
                </c:pt>
                <c:pt idx="1">
                  <c:v>Operaciones</c:v>
                </c:pt>
                <c:pt idx="2">
                  <c:v>Ventas</c:v>
                </c:pt>
              </c:strCache>
            </c:strRef>
          </c:cat>
          <c:val>
            <c:numRef>
              <c:f>'Tabla Simple'!$B$4:$B$7</c:f>
              <c:numCache>
                <c:formatCode>_("$"* #,##0_);_("$"* \(#,##0\);_("$"* "-"_);_(@_)</c:formatCode>
                <c:ptCount val="3"/>
                <c:pt idx="0">
                  <c:v>1260000</c:v>
                </c:pt>
                <c:pt idx="1">
                  <c:v>2700000</c:v>
                </c:pt>
                <c:pt idx="2">
                  <c:v>3850000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2-4D68-869B-B74CB95A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782975"/>
        <c:axId val="607479471"/>
      </c:barChart>
      <c:catAx>
        <c:axId val="82178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7479471"/>
        <c:crosses val="autoZero"/>
        <c:auto val="1"/>
        <c:lblAlgn val="ctr"/>
        <c:lblOffset val="100"/>
        <c:noMultiLvlLbl val="0"/>
      </c:catAx>
      <c:valAx>
        <c:axId val="6074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178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[Control_Gastos_Empresa_Ficticia.xlsx]Tabla Simple!TablaDinámica2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Presupuesto Vs Gasto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Simple'!$A$12</c:f>
              <c:strCache>
                <c:ptCount val="1"/>
                <c:pt idx="0">
                  <c:v>Suma de Presupuesto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Simple'!$A$13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 Simple'!$A$13</c:f>
              <c:numCache>
                <c:formatCode>_("$"* #,##0_);_("$"* \(#,##0\);_("$"* "-"_);_(@_)</c:formatCode>
                <c:ptCount val="1"/>
                <c:pt idx="0">
                  <c:v>7500000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C-4AFB-9313-B7124DE36106}"/>
            </c:ext>
          </c:extLst>
        </c:ser>
        <c:ser>
          <c:idx val="1"/>
          <c:order val="1"/>
          <c:tx>
            <c:strRef>
              <c:f>'Tabla Simple'!$B$12</c:f>
              <c:strCache>
                <c:ptCount val="1"/>
                <c:pt idx="0">
                  <c:v>Suma de Gasto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Simple'!$A$13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 Simple'!$B$13</c:f>
              <c:numCache>
                <c:formatCode>_("$"* #,##0_);_("$"* \(#,##0\);_("$"* "-"_);_(@_)</c:formatCode>
                <c:ptCount val="1"/>
                <c:pt idx="0">
                  <c:v>7810000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C-4AFB-9313-B7124DE36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6234911"/>
        <c:axId val="616232511"/>
      </c:barChart>
      <c:catAx>
        <c:axId val="61623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6232511"/>
        <c:crosses val="autoZero"/>
        <c:auto val="1"/>
        <c:lblAlgn val="ctr"/>
        <c:lblOffset val="100"/>
        <c:noMultiLvlLbl val="0"/>
      </c:catAx>
      <c:valAx>
        <c:axId val="61623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623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[Control_Gastos_Empresa_Ficticia.xlsx]Tabla Simple!TablaDinámica3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Evolucion</a:t>
            </a:r>
            <a:r>
              <a:rPr lang="es-CL" baseline="0"/>
              <a:t> Mensual</a:t>
            </a:r>
            <a:endParaRPr lang="es-CL"/>
          </a:p>
        </c:rich>
      </c:tx>
      <c:layout>
        <c:manualLayout>
          <c:xMode val="edge"/>
          <c:yMode val="edge"/>
          <c:x val="0.29446522309711282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Simple'!$B$19</c:f>
              <c:strCache>
                <c:ptCount val="1"/>
                <c:pt idx="0">
                  <c:v>Suma de Presupuesto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Simple'!$A$20:$A$23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'Tabla Simple'!$B$20:$B$23</c:f>
              <c:numCache>
                <c:formatCode>_("$"* #,##0_);_("$"* \(#,##0\);_("$"* "-"_);_(@_)</c:formatCode>
                <c:ptCount val="3"/>
                <c:pt idx="0">
                  <c:v>2500000</c:v>
                </c:pt>
                <c:pt idx="1">
                  <c:v>2500000</c:v>
                </c:pt>
                <c:pt idx="2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1-44AB-909C-40DDC016B3D5}"/>
            </c:ext>
          </c:extLst>
        </c:ser>
        <c:ser>
          <c:idx val="1"/>
          <c:order val="1"/>
          <c:tx>
            <c:strRef>
              <c:f>'Tabla Simple'!$C$19</c:f>
              <c:strCache>
                <c:ptCount val="1"/>
                <c:pt idx="0">
                  <c:v>Suma de Gasto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 Simple'!$A$20:$A$23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'Tabla Simple'!$C$20:$C$23</c:f>
              <c:numCache>
                <c:formatCode>_("$"* #,##0_);_("$"* \(#,##0\);_("$"* "-"_);_(@_)</c:formatCode>
                <c:ptCount val="3"/>
                <c:pt idx="0">
                  <c:v>2640000</c:v>
                </c:pt>
                <c:pt idx="1">
                  <c:v>2440000</c:v>
                </c:pt>
                <c:pt idx="2">
                  <c:v>2730000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C1-44AB-909C-40DDC016B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018079"/>
        <c:axId val="825018559"/>
      </c:barChart>
      <c:catAx>
        <c:axId val="82501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5018559"/>
        <c:crosses val="autoZero"/>
        <c:auto val="1"/>
        <c:lblAlgn val="ctr"/>
        <c:lblOffset val="100"/>
        <c:noMultiLvlLbl val="0"/>
      </c:catAx>
      <c:valAx>
        <c:axId val="8250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501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462280</xdr:colOff>
      <xdr:row>1</xdr:row>
      <xdr:rowOff>27093</xdr:rowOff>
    </xdr:from>
    <xdr:to>
      <xdr:col>12</xdr:col>
      <xdr:colOff>241300</xdr:colOff>
      <xdr:row>16</xdr:row>
      <xdr:rowOff>4233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35A19C-1247-1FB8-42B3-E3A5868E8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550334</xdr:colOff>
      <xdr:row>1</xdr:row>
      <xdr:rowOff>65617</xdr:rowOff>
    </xdr:from>
    <xdr:to>
      <xdr:col>7</xdr:col>
      <xdr:colOff>320040</xdr:colOff>
      <xdr:row>16</xdr:row>
      <xdr:rowOff>61807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D8749B-965E-DB45-EBB9-A6A03C3CE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701040</xdr:colOff>
      <xdr:row>16</xdr:row>
      <xdr:rowOff>19050</xdr:rowOff>
    </xdr:from>
    <xdr:to>
      <xdr:col>10</xdr:col>
      <xdr:colOff>480060</xdr:colOff>
      <xdr:row>31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CEEDD9-25FF-B864-5A24-C5DCE87A9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ás" refreshedDate="46036.924209722223" createdVersion="8" refreshedVersion="8" minRefreshableVersion="3" recordCount="9" xr:uid="{3E883663-1718-474C-BBE5-F797F5AB25F8}">
  <cacheSource type="worksheet">
    <worksheetSource ref="A1:K10" sheet="Gastos"/>
  </cacheSource>
  <cacheFields count="11">
    <cacheField name="Mes" numFmtId="0">
      <sharedItems count="3">
        <s v="Enero"/>
        <s v="Febrero"/>
        <s v="Marzo"/>
      </sharedItems>
    </cacheField>
    <cacheField name="Área" numFmtId="0">
      <sharedItems count="3">
        <s v="Ventas"/>
        <s v="Operaciones"/>
        <s v="Finanzas"/>
      </sharedItems>
    </cacheField>
    <cacheField name="Categoría" numFmtId="0">
      <sharedItems/>
    </cacheField>
    <cacheField name="Presupuesto" numFmtId="42">
      <sharedItems containsSemiMixedTypes="0" containsString="0" containsNumber="1" containsInteger="1" minValue="400000" maxValue="1200000"/>
    </cacheField>
    <cacheField name="Gasto Real" numFmtId="42">
      <sharedItems containsSemiMixedTypes="0" containsString="0" containsNumber="1" containsInteger="1" minValue="390000" maxValue="1400000"/>
    </cacheField>
    <cacheField name="Diferencia  " numFmtId="42">
      <sharedItems containsSemiMixedTypes="0" containsString="0" containsNumber="1" containsInteger="1" minValue="-100000" maxValue="200000"/>
    </cacheField>
    <cacheField name="Variacion %" numFmtId="9">
      <sharedItems containsSemiMixedTypes="0" containsString="0" containsNumber="1" minValue="-8.3333333333333329E-2" maxValue="0.16666666666666666"/>
    </cacheField>
    <cacheField name="Total Presupuesto" numFmtId="0">
      <sharedItems containsString="0" containsBlank="1" containsNumber="1" containsInteger="1" minValue="7500000" maxValue="7500000"/>
    </cacheField>
    <cacheField name="Total Gasto Real " numFmtId="0">
      <sharedItems containsString="0" containsBlank="1" containsNumber="1" containsInteger="1" minValue="7810000" maxValue="7810000"/>
    </cacheField>
    <cacheField name="Variación total" numFmtId="0">
      <sharedItems containsString="0" containsBlank="1" containsNumber="1" containsInteger="1" minValue="310000" maxValue="310000"/>
    </cacheField>
    <cacheField name="% de sobre / bajo presupuesto" numFmtId="0">
      <sharedItems containsString="0" containsBlank="1" containsNumber="1" minValue="4.1333333333333333E-2" maxValue="4.133333333333333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Marketing"/>
    <n v="1200000"/>
    <n v="1350000"/>
    <n v="150000"/>
    <n v="0.125"/>
    <n v="7500000"/>
    <n v="7810000"/>
    <n v="310000"/>
    <n v="4.1333333333333333E-2"/>
  </r>
  <r>
    <x v="0"/>
    <x v="1"/>
    <s v="Logística"/>
    <n v="900000"/>
    <n v="870000"/>
    <n v="-30000"/>
    <n v="-3.3333333333333333E-2"/>
    <m/>
    <m/>
    <m/>
    <m/>
  </r>
  <r>
    <x v="0"/>
    <x v="2"/>
    <s v="Servicios"/>
    <n v="400000"/>
    <n v="420000"/>
    <n v="20000"/>
    <n v="0.05"/>
    <m/>
    <m/>
    <m/>
    <m/>
  </r>
  <r>
    <x v="1"/>
    <x v="0"/>
    <s v="Marketing"/>
    <n v="1200000"/>
    <n v="1100000"/>
    <n v="-100000"/>
    <n v="-8.3333333333333329E-2"/>
    <m/>
    <m/>
    <m/>
    <m/>
  </r>
  <r>
    <x v="1"/>
    <x v="1"/>
    <s v="Logística"/>
    <n v="900000"/>
    <n v="950000"/>
    <n v="50000"/>
    <n v="5.5555555555555552E-2"/>
    <m/>
    <m/>
    <m/>
    <m/>
  </r>
  <r>
    <x v="1"/>
    <x v="2"/>
    <s v="Servicios"/>
    <n v="400000"/>
    <n v="390000"/>
    <n v="-10000"/>
    <n v="-2.5000000000000001E-2"/>
    <m/>
    <m/>
    <m/>
    <m/>
  </r>
  <r>
    <x v="2"/>
    <x v="0"/>
    <s v="Marketing"/>
    <n v="1200000"/>
    <n v="1400000"/>
    <n v="200000"/>
    <n v="0.16666666666666666"/>
    <m/>
    <m/>
    <m/>
    <m/>
  </r>
  <r>
    <x v="2"/>
    <x v="1"/>
    <s v="Logística"/>
    <n v="900000"/>
    <n v="880000"/>
    <n v="-20000"/>
    <n v="-2.2222222222222223E-2"/>
    <m/>
    <m/>
    <m/>
    <m/>
  </r>
  <r>
    <x v="2"/>
    <x v="2"/>
    <s v="Servicios"/>
    <n v="400000"/>
    <n v="450000"/>
    <n v="50000"/>
    <n v="0.12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410D2-105A-4B29-9216-992603E847E1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9:C23" firstHeaderRow="0" firstDataRow="1" firstDataCol="1"/>
  <pivotFields count="11">
    <pivotField axis="axisRow" showAll="0">
      <items count="4">
        <item x="0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numFmtId="42" showAll="0"/>
    <pivotField dataField="1" numFmtId="42" showAll="0"/>
    <pivotField numFmtId="42" showAll="0"/>
    <pivotField numFmtId="9"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" fld="3" baseField="0" baseItem="0" numFmtId="42"/>
    <dataField name="Suma de Gasto Real" fld="4" baseField="0" baseItem="0" numFmtId="42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807E2-5C9A-4FF7-B4E4-66CF4DE5E922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2:B13" firstHeaderRow="0" firstDataRow="1" firstDataCol="0"/>
  <pivotFields count="11">
    <pivotField showAll="0"/>
    <pivotField showAll="0">
      <items count="4">
        <item x="2"/>
        <item x="1"/>
        <item x="0"/>
        <item t="default"/>
      </items>
    </pivotField>
    <pivotField showAll="0"/>
    <pivotField dataField="1" numFmtId="42" showAll="0"/>
    <pivotField dataField="1" numFmtId="42" showAll="0"/>
    <pivotField numFmtId="42" showAll="0"/>
    <pivotField numFmtId="9"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Presupuesto" fld="3" baseField="0" baseItem="0" numFmtId="42"/>
    <dataField name="Suma de Gasto Real" fld="4" baseField="0" baseItem="0" numFmtId="4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DB54C-FDA8-490A-8E49-E0282B5E69B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1"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42" showAll="0"/>
    <pivotField dataField="1" numFmtId="42" showAll="0"/>
    <pivotField numFmtId="42" showAll="0"/>
    <pivotField numFmtId="9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Gasto Real" fld="4" baseField="0" baseItem="0" numFmtId="4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3172-EE69-4AD7-B4D2-E46BCE8550EC}">
  <dimension ref="A3:C23"/>
  <sheetViews>
    <sheetView tabSelected="1" zoomScale="90" zoomScaleNormal="90" workbookViewId="0">
      <selection activeCell="B9" sqref="B9"/>
    </sheetView>
  </sheetViews>
  <sheetFormatPr baseColWidth="10" defaultRowHeight="14.4" x14ac:dyDescent="0.3"/>
  <cols>
    <col min="1" max="2" width="19.33203125" bestFit="1" customWidth="1"/>
    <col min="3" max="3" width="17.6640625" bestFit="1" customWidth="1"/>
    <col min="4" max="4" width="11" bestFit="1" customWidth="1"/>
    <col min="5" max="5" width="11.88671875" bestFit="1" customWidth="1"/>
    <col min="6" max="6" width="21.44140625" bestFit="1" customWidth="1"/>
    <col min="7" max="7" width="24.109375" bestFit="1" customWidth="1"/>
    <col min="8" max="8" width="22.44140625" bestFit="1" customWidth="1"/>
  </cols>
  <sheetData>
    <row r="3" spans="1:2" x14ac:dyDescent="0.3">
      <c r="A3" s="4" t="s">
        <v>21</v>
      </c>
      <c r="B3" t="s">
        <v>20</v>
      </c>
    </row>
    <row r="4" spans="1:2" x14ac:dyDescent="0.3">
      <c r="A4" s="5" t="s">
        <v>10</v>
      </c>
      <c r="B4" s="2">
        <v>1260000</v>
      </c>
    </row>
    <row r="5" spans="1:2" x14ac:dyDescent="0.3">
      <c r="A5" s="5" t="s">
        <v>8</v>
      </c>
      <c r="B5" s="2">
        <v>2700000</v>
      </c>
    </row>
    <row r="6" spans="1:2" x14ac:dyDescent="0.3">
      <c r="A6" s="5" t="s">
        <v>6</v>
      </c>
      <c r="B6" s="2">
        <v>3850000</v>
      </c>
    </row>
    <row r="7" spans="1:2" x14ac:dyDescent="0.3">
      <c r="A7" s="5" t="s">
        <v>22</v>
      </c>
      <c r="B7" s="2">
        <v>7810000</v>
      </c>
    </row>
    <row r="12" spans="1:2" x14ac:dyDescent="0.3">
      <c r="A12" t="s">
        <v>23</v>
      </c>
      <c r="B12" t="s">
        <v>20</v>
      </c>
    </row>
    <row r="13" spans="1:2" x14ac:dyDescent="0.3">
      <c r="A13" s="2">
        <v>7500000</v>
      </c>
      <c r="B13" s="2">
        <v>7810000</v>
      </c>
    </row>
    <row r="19" spans="1:3" x14ac:dyDescent="0.3">
      <c r="A19" s="4" t="s">
        <v>21</v>
      </c>
      <c r="B19" t="s">
        <v>23</v>
      </c>
      <c r="C19" t="s">
        <v>20</v>
      </c>
    </row>
    <row r="20" spans="1:3" x14ac:dyDescent="0.3">
      <c r="A20" s="5" t="s">
        <v>5</v>
      </c>
      <c r="B20" s="2">
        <v>2500000</v>
      </c>
      <c r="C20" s="2">
        <v>2640000</v>
      </c>
    </row>
    <row r="21" spans="1:3" x14ac:dyDescent="0.3">
      <c r="A21" s="5" t="s">
        <v>12</v>
      </c>
      <c r="B21" s="2">
        <v>2500000</v>
      </c>
      <c r="C21" s="2">
        <v>2440000</v>
      </c>
    </row>
    <row r="22" spans="1:3" x14ac:dyDescent="0.3">
      <c r="A22" s="5" t="s">
        <v>13</v>
      </c>
      <c r="B22" s="2">
        <v>2500000</v>
      </c>
      <c r="C22" s="2">
        <v>2730000</v>
      </c>
    </row>
    <row r="23" spans="1:3" x14ac:dyDescent="0.3">
      <c r="A23" s="5" t="s">
        <v>22</v>
      </c>
      <c r="B23" s="2">
        <v>7500000</v>
      </c>
      <c r="C23" s="2">
        <v>7810000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sqref="A1:K10"/>
    </sheetView>
  </sheetViews>
  <sheetFormatPr baseColWidth="10" defaultColWidth="8.88671875" defaultRowHeight="14.4" x14ac:dyDescent="0.3"/>
  <cols>
    <col min="3" max="3" width="9.21875" bestFit="1" customWidth="1"/>
    <col min="4" max="5" width="11" bestFit="1" customWidth="1"/>
    <col min="6" max="6" width="10.109375" bestFit="1" customWidth="1"/>
    <col min="7" max="7" width="10.5546875" bestFit="1" customWidth="1"/>
    <col min="8" max="8" width="15.6640625" bestFit="1" customWidth="1"/>
    <col min="9" max="9" width="14.88671875" bestFit="1" customWidth="1"/>
    <col min="10" max="10" width="13" bestFit="1" customWidth="1"/>
    <col min="11" max="11" width="2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5</v>
      </c>
      <c r="B2" t="s">
        <v>6</v>
      </c>
      <c r="C2" t="s">
        <v>7</v>
      </c>
      <c r="D2" s="1">
        <v>1200000</v>
      </c>
      <c r="E2" s="1">
        <v>1350000</v>
      </c>
      <c r="F2" s="2">
        <f>E2-D2</f>
        <v>150000</v>
      </c>
      <c r="G2" s="3">
        <f>F2/D2</f>
        <v>0.125</v>
      </c>
      <c r="H2" s="2">
        <f>SUM(D2:D10)</f>
        <v>7500000</v>
      </c>
      <c r="I2" s="2">
        <f>SUM(E2:E10)</f>
        <v>7810000</v>
      </c>
      <c r="J2" s="2">
        <f>I2-H2</f>
        <v>310000</v>
      </c>
      <c r="K2" s="3">
        <f>J2/H2</f>
        <v>4.1333333333333333E-2</v>
      </c>
    </row>
    <row r="3" spans="1:11" x14ac:dyDescent="0.3">
      <c r="A3" t="s">
        <v>5</v>
      </c>
      <c r="B3" t="s">
        <v>8</v>
      </c>
      <c r="C3" t="s">
        <v>9</v>
      </c>
      <c r="D3" s="1">
        <v>900000</v>
      </c>
      <c r="E3" s="1">
        <v>870000</v>
      </c>
      <c r="F3" s="2">
        <f t="shared" ref="F3:F10" si="0">E3-D3</f>
        <v>-30000</v>
      </c>
      <c r="G3" s="3">
        <f t="shared" ref="G3:G10" si="1">F3/D3</f>
        <v>-3.3333333333333333E-2</v>
      </c>
    </row>
    <row r="4" spans="1:11" x14ac:dyDescent="0.3">
      <c r="A4" t="s">
        <v>5</v>
      </c>
      <c r="B4" t="s">
        <v>10</v>
      </c>
      <c r="C4" t="s">
        <v>11</v>
      </c>
      <c r="D4" s="1">
        <v>400000</v>
      </c>
      <c r="E4" s="1">
        <v>420000</v>
      </c>
      <c r="F4" s="2">
        <f t="shared" si="0"/>
        <v>20000</v>
      </c>
      <c r="G4" s="3">
        <f t="shared" si="1"/>
        <v>0.05</v>
      </c>
    </row>
    <row r="5" spans="1:11" x14ac:dyDescent="0.3">
      <c r="A5" t="s">
        <v>12</v>
      </c>
      <c r="B5" t="s">
        <v>6</v>
      </c>
      <c r="C5" t="s">
        <v>7</v>
      </c>
      <c r="D5" s="1">
        <v>1200000</v>
      </c>
      <c r="E5" s="1">
        <v>1100000</v>
      </c>
      <c r="F5" s="2">
        <f t="shared" si="0"/>
        <v>-100000</v>
      </c>
      <c r="G5" s="3">
        <f t="shared" si="1"/>
        <v>-8.3333333333333329E-2</v>
      </c>
    </row>
    <row r="6" spans="1:11" x14ac:dyDescent="0.3">
      <c r="A6" t="s">
        <v>12</v>
      </c>
      <c r="B6" t="s">
        <v>8</v>
      </c>
      <c r="C6" t="s">
        <v>9</v>
      </c>
      <c r="D6" s="1">
        <v>900000</v>
      </c>
      <c r="E6" s="1">
        <v>950000</v>
      </c>
      <c r="F6" s="2">
        <f t="shared" si="0"/>
        <v>50000</v>
      </c>
      <c r="G6" s="3">
        <f t="shared" si="1"/>
        <v>5.5555555555555552E-2</v>
      </c>
    </row>
    <row r="7" spans="1:11" x14ac:dyDescent="0.3">
      <c r="A7" t="s">
        <v>12</v>
      </c>
      <c r="B7" t="s">
        <v>10</v>
      </c>
      <c r="C7" t="s">
        <v>11</v>
      </c>
      <c r="D7" s="1">
        <v>400000</v>
      </c>
      <c r="E7" s="1">
        <v>390000</v>
      </c>
      <c r="F7" s="2">
        <f t="shared" si="0"/>
        <v>-10000</v>
      </c>
      <c r="G7" s="3">
        <f t="shared" si="1"/>
        <v>-2.5000000000000001E-2</v>
      </c>
    </row>
    <row r="8" spans="1:11" x14ac:dyDescent="0.3">
      <c r="A8" t="s">
        <v>13</v>
      </c>
      <c r="B8" t="s">
        <v>6</v>
      </c>
      <c r="C8" t="s">
        <v>7</v>
      </c>
      <c r="D8" s="1">
        <v>1200000</v>
      </c>
      <c r="E8" s="1">
        <v>1400000</v>
      </c>
      <c r="F8" s="2">
        <f t="shared" si="0"/>
        <v>200000</v>
      </c>
      <c r="G8" s="3">
        <f t="shared" si="1"/>
        <v>0.16666666666666666</v>
      </c>
    </row>
    <row r="9" spans="1:11" x14ac:dyDescent="0.3">
      <c r="A9" t="s">
        <v>13</v>
      </c>
      <c r="B9" t="s">
        <v>8</v>
      </c>
      <c r="C9" t="s">
        <v>9</v>
      </c>
      <c r="D9" s="1">
        <v>900000</v>
      </c>
      <c r="E9" s="1">
        <v>880000</v>
      </c>
      <c r="F9" s="2">
        <f t="shared" si="0"/>
        <v>-20000</v>
      </c>
      <c r="G9" s="3">
        <f t="shared" si="1"/>
        <v>-2.2222222222222223E-2</v>
      </c>
    </row>
    <row r="10" spans="1:11" x14ac:dyDescent="0.3">
      <c r="A10" t="s">
        <v>13</v>
      </c>
      <c r="B10" t="s">
        <v>10</v>
      </c>
      <c r="C10" t="s">
        <v>11</v>
      </c>
      <c r="D10" s="1">
        <v>400000</v>
      </c>
      <c r="E10" s="1">
        <v>450000</v>
      </c>
      <c r="F10" s="2">
        <f t="shared" si="0"/>
        <v>50000</v>
      </c>
      <c r="G10" s="3">
        <f t="shared" si="1"/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Simple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194087829</cp:lastModifiedBy>
  <dcterms:created xsi:type="dcterms:W3CDTF">2026-01-15T00:32:57Z</dcterms:created>
  <dcterms:modified xsi:type="dcterms:W3CDTF">2026-01-15T01:37:20Z</dcterms:modified>
</cp:coreProperties>
</file>